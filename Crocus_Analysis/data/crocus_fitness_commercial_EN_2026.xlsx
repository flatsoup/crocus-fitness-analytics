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Telegram Desktop\"/>
    </mc:Choice>
  </mc:AlternateContent>
  <xr:revisionPtr revIDLastSave="0" documentId="13_ncr:1_{616A755E-E62D-46C4-B02E-EAF566564BFC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📊 DASHBOARD" sheetId="1" r:id="rId1"/>
    <sheet name="📋 PROGRAMS" sheetId="2" r:id="rId2"/>
    <sheet name="🚀 PILOT PLAN" sheetId="3" r:id="rId3"/>
    <sheet name="📌 STRATEG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2" i="2" l="1"/>
  <c r="I11" i="2"/>
  <c r="I10" i="2"/>
  <c r="I9" i="2"/>
  <c r="I8" i="2"/>
  <c r="I7" i="2"/>
  <c r="I6" i="2"/>
  <c r="I5" i="2"/>
  <c r="I4" i="2"/>
  <c r="I3" i="2"/>
  <c r="H27" i="1"/>
  <c r="J27" i="1" s="1"/>
  <c r="J26" i="1"/>
  <c r="H26" i="1"/>
  <c r="H25" i="1"/>
  <c r="J25" i="1" s="1"/>
  <c r="H24" i="1"/>
  <c r="J24" i="1" s="1"/>
  <c r="H23" i="1"/>
  <c r="J23" i="1" s="1"/>
  <c r="H22" i="1"/>
  <c r="J22" i="1" s="1"/>
  <c r="J21" i="1"/>
  <c r="H21" i="1"/>
  <c r="J20" i="1"/>
  <c r="H20" i="1"/>
  <c r="H19" i="1"/>
  <c r="J19" i="1" s="1"/>
  <c r="H18" i="1"/>
  <c r="J18" i="1" s="1"/>
  <c r="J28" i="1" l="1"/>
  <c r="H28" i="1"/>
</calcChain>
</file>

<file path=xl/sharedStrings.xml><?xml version="1.0" encoding="utf-8"?>
<sst xmlns="http://schemas.openxmlformats.org/spreadsheetml/2006/main" count="257" uniqueCount="199">
  <si>
    <t>CROCUS FITNESS TAJIKISTAN — COMMERCIAL CLASSES 2026</t>
  </si>
  <si>
    <t>10
Commercial
Programs</t>
  </si>
  <si>
    <t>3
Pilots for
Immediate Launch</t>
  </si>
  <si>
    <t>103 000+
Max Revenue
3 Pilots/Year (TJS)</t>
  </si>
  <si>
    <t>1 Cycle
Break-even
Timeline</t>
  </si>
  <si>
    <t>🔍  SWOT ANALYSIS  |  Dushanbe 2026  —  Premium Fitness Segment</t>
  </si>
  <si>
    <t>STRENGTHS  ✅</t>
  </si>
  <si>
    <t>WEAKNESSES  ⚠️</t>
  </si>
  <si>
    <t>OPPORTUNITIES  🚀</t>
  </si>
  <si>
    <t>THREATS  ❌</t>
  </si>
  <si>
    <t>• Strong Crocus Group brand recognition</t>
  </si>
  <si>
    <t>• Low culture of add-on payments</t>
  </si>
  <si>
    <t>• Growing middle class in Dushanbe</t>
  </si>
  <si>
    <t>• Seasonal client drop-off (summer)</t>
  </si>
  <si>
    <t>• Existing infrastructure &amp; equipment</t>
  </si>
  <si>
    <t>• Limited marketing coverage</t>
  </si>
  <si>
    <t>• Demand for women's &amp; children's programs</t>
  </si>
  <si>
    <t>• Economic instability</t>
  </si>
  <si>
    <t>• Loyal client base</t>
  </si>
  <si>
    <t>• No CRM for upsell communications</t>
  </si>
  <si>
    <t>• Healthy lifestyle trend among ages 25–40</t>
  </si>
  <si>
    <t>• Emergence of new competing clubs</t>
  </si>
  <si>
    <t>• Experienced trainer staff</t>
  </si>
  <si>
    <t>• Shortage of specialized trainers</t>
  </si>
  <si>
    <t>• Lack of premium-segment competitors</t>
  </si>
  <si>
    <t>• Ramadan — attendance decline</t>
  </si>
  <si>
    <t>💰  REVENUE POTENTIAL SUMMARY BY PROGRAM (TJS / CYCLE)</t>
  </si>
  <si>
    <t>#</t>
  </si>
  <si>
    <t>Program</t>
  </si>
  <si>
    <t>Type</t>
  </si>
  <si>
    <t>Spots</t>
  </si>
  <si>
    <t>Sessions</t>
  </si>
  <si>
    <t>Price/Course (TJS)</t>
  </si>
  <si>
    <t>Rev./Cycle (TJS)</t>
  </si>
  <si>
    <t>Cycles/Year</t>
  </si>
  <si>
    <t>Annual Potential (TJS)</t>
  </si>
  <si>
    <t>Priority</t>
  </si>
  <si>
    <t>Trainer</t>
  </si>
  <si>
    <t>VIP Body Transformation</t>
  </si>
  <si>
    <t>MINI-GROUP 🔴</t>
  </si>
  <si>
    <t>⭐ TOP</t>
  </si>
  <si>
    <t>Senior PT</t>
  </si>
  <si>
    <t>Women's Strength &amp; Sculpt</t>
  </si>
  <si>
    <t>🔥 PILOT</t>
  </si>
  <si>
    <t>Female Trainer</t>
  </si>
  <si>
    <t>Posture Rehab Pro</t>
  </si>
  <si>
    <t>Rehab Specialist</t>
  </si>
  <si>
    <t>Kickboxing Fit (Women)</t>
  </si>
  <si>
    <t>STANDARD 🟠</t>
  </si>
  <si>
    <t>❓ VALIDATE</t>
  </si>
  <si>
    <t>Competition Prep Camp</t>
  </si>
  <si>
    <t>Strength Trainer</t>
  </si>
  <si>
    <t>Kids Athletic Lab (6–12 лет)</t>
  </si>
  <si>
    <t>KIDS 🟢</t>
  </si>
  <si>
    <t>Martial Arts Trainer</t>
  </si>
  <si>
    <t>Teen Power (13–17 лет)</t>
  </si>
  <si>
    <t>📈 SCALE</t>
  </si>
  <si>
    <t>Youth PT</t>
  </si>
  <si>
    <t>Healthy Back Express</t>
  </si>
  <si>
    <t>Weight Loss Boot Camp</t>
  </si>
  <si>
    <t>Group Trainer</t>
  </si>
  <si>
    <t>Dance &amp; Tone (Women)</t>
  </si>
  <si>
    <t>Choreographer</t>
  </si>
  <si>
    <t>TOTAL POTENTIAL (6 cycles/year, 100% capacity)</t>
  </si>
  <si>
    <t>DETAILED COMMERCIAL PROGRAM LINEUP — CROCUS FITNESS TAJIKISTAN 2026</t>
  </si>
  <si>
    <t>Program Name</t>
  </si>
  <si>
    <t>Segment</t>
  </si>
  <si>
    <t>Target Audience</t>
  </si>
  <si>
    <t>Sessions
(Cycle)</t>
  </si>
  <si>
    <t>Duration
(min)</t>
  </si>
  <si>
    <t>Max
Participants</t>
  </si>
  <si>
    <t>Price/Course
(TJS)</t>
  </si>
  <si>
    <t>Rev./Cycle
(TJS)</t>
  </si>
  <si>
    <t>Trainer Requirements</t>
  </si>
  <si>
    <t>Equipment</t>
  </si>
  <si>
    <t>Demand Rationale</t>
  </si>
  <si>
    <t>LTV Potential</t>
  </si>
  <si>
    <t>ROI Rating</t>
  </si>
  <si>
    <t>MINI-GROUP</t>
  </si>
  <si>
    <t>Business owners, top managers 30–50 yrs, limited time, high budget</t>
  </si>
  <si>
    <t>Certified PT Level 3+, body transformation experience</t>
  </si>
  <si>
    <t>Free weights, TRX, body measurements, tracking app</t>
  </si>
  <si>
    <t>Highest CPC in the club. Client pays for results and status, not for hours</t>
  </si>
  <si>
    <t>High — repeat cycles + personal PT sessions</t>
  </si>
  <si>
    <t>🔥🔥🔥🔥🔥</t>
  </si>
  <si>
    <t>Women 25–42 yrs, want a toned body, not a weight room. Mid-to-high income</t>
  </si>
  <si>
    <t>Female Trainer, specialization: functional training, body aesthetics</t>
  </si>
  <si>
    <t>Dumbbells, resistance bands, mats, light barbells</t>
  </si>
  <si>
    <t>Women's classes — top-1 request in Dushanbe. Culturally safe format</t>
  </si>
  <si>
    <t>Very high — client loyalty, repeat purchases</t>
  </si>
  <si>
    <t>Office workers 28–50 yrs, chronic back/neck pain, often doctor-referred</t>
  </si>
  <si>
    <t>Rehab Specialist / kinesiologist, physiotherapy certification</t>
  </si>
  <si>
    <t>Mats, foam rollers, suspension loops, stability balls</t>
  </si>
  <si>
    <t>Medical trigger — client pays when in pain. Prescription-driven demand</t>
  </si>
  <si>
    <t>High — long-term clients with ongoing medical need</t>
  </si>
  <si>
    <t>🔥🔥🔥🔥</t>
  </si>
  <si>
    <t>STANDARD</t>
  </si>
  <si>
    <t>Women 20–38 yrs, seeking fitness + self-defense + energy release</t>
  </si>
  <si>
    <t>Martial arts trainer with experience working with women</t>
  </si>
  <si>
    <t>Boxing gloves, heavy bags, jump ropes, pads</t>
  </si>
  <si>
    <t>Trend: women's boxing/kickboxing growing across CIS. High viral potential</t>
  </si>
  <si>
    <t>Medium — converts to PT with proper engagement</t>
  </si>
  <si>
    <t>Athletes 18–35 yrs, preparing for competitions (powerlifting, bodybuilding, martial arts)</t>
  </si>
  <si>
    <t>Trainer with experience preparing athletes for competitions</t>
  </si>
  <si>
    <t>Power racks, heavy dumbbells, weightlifting belts, chains</t>
  </si>
  <si>
    <t>Niche but high-yield. Motivated clients don't negotiate on price</t>
  </si>
  <si>
    <t>Very high — seasonal repeats + referrals</t>
  </si>
  <si>
    <t>🔥🔥🔥</t>
  </si>
  <si>
    <t>Kids Athletic Lab (6–12)</t>
  </si>
  <si>
    <t>KIDS</t>
  </si>
  <si>
    <t>Parents with children 6–12 yrs. Moms 28–40 from the middle class</t>
  </si>
  <si>
    <t>Children's trainer, certified to work with minors</t>
  </si>
  <si>
    <t>Mats, cones, balls, agility ladders</t>
  </si>
  <si>
    <t>Parents invest in children without hesitation. Low price sensitivity</t>
  </si>
  <si>
    <t>Very high — children's programs have the most stable LTV</t>
  </si>
  <si>
    <t>Teen Power (13–17)</t>
  </si>
  <si>
    <t>Teenagers 13–17, parents pay. Focus: confidence, physical fitness</t>
  </si>
  <si>
    <t>Trainer with experience working with teenagers, charismatic personality</t>
  </si>
  <si>
    <t>Main gym floor, free weights, mats</t>
  </si>
  <si>
    <t>Teenagers are future adult club members. Strategic long-term investment</t>
  </si>
  <si>
    <t>Medium — conversion to adult memberships within 1–2 years</t>
  </si>
  <si>
    <t>Office workers 30–55 yrs, sedentary lifestyle, chronic back pain</t>
  </si>
  <si>
    <t>Physiotherapy instructor / rehab specialist</t>
  </si>
  <si>
    <t>Mats, foam rollers, stability balls</t>
  </si>
  <si>
    <t>Mass pain point (literally). Word-of-mouth works extremely well</t>
  </si>
  <si>
    <t>High — chronic condition = recurring client</t>
  </si>
  <si>
    <t>Women and men 25–45 yrs, want to lose weight fast, highly motivated</t>
  </si>
  <si>
    <t>High-energy group fitness trainer, basic nutrition knowledge</t>
  </si>
  <si>
    <t>Mats, dumbbells, TRX, jump ropes</t>
  </si>
  <si>
    <t>Perennial demand. January–March and post-Ramadan are peak periods</t>
  </si>
  <si>
    <t>Medium — high conversion to membership after cycle</t>
  </si>
  <si>
    <t>Women 18–45 yrs, want to move, have fun, and tone their body</t>
  </si>
  <si>
    <t>Choreographer / licensed Zumba instructor</t>
  </si>
  <si>
    <t>Mirrors, speakers, open floor space</t>
  </si>
  <si>
    <t>Most viral format. Attracts new clients through social media</t>
  </si>
  <si>
    <t>Medium — conversion to membership through fun experience</t>
  </si>
  <si>
    <t>🚀  PILOT LAUNCH PLAN — 3 PROGRAMS FOR IMMEDIATE LAUNCH</t>
  </si>
  <si>
    <t>Launch by April 1, 2026 · Peak season post-Ramadan · Target capacity: 80%+ from first cycle</t>
  </si>
  <si>
    <t xml:space="preserve">  PILOT #01  |  💪 Women's Strength &amp; Sculpt</t>
  </si>
  <si>
    <t>WHY NOW?  🎯</t>
  </si>
  <si>
    <t>Women already attend the club. Separate hall with separate entrance. Female trainer on staff. Price 698 TJS per current price list (mini-group, 10-session clip-card).</t>
  </si>
  <si>
    <t>Women 25–42 yrs</t>
  </si>
  <si>
    <t>Schedule (Prime Time)</t>
  </si>
  <si>
    <t>Mon/Wed/Fri 10:00–11:00 (Morning Ladies)
Mon/Wed 20:00–21:00 (Evening)</t>
  </si>
  <si>
    <t>Group Capacity</t>
  </si>
  <si>
    <t>8</t>
  </si>
  <si>
    <t>Price per Course</t>
  </si>
  <si>
    <t>698 TJS  (10 sessions)</t>
  </si>
  <si>
    <t>Revenue per Cycle (100%)</t>
  </si>
  <si>
    <t>5,584 TJS</t>
  </si>
  <si>
    <t>Required Equipment</t>
  </si>
  <si>
    <t>Dumbbells 2–20 kg, TRX x4, resistance bands x20, mats x10 — all already available</t>
  </si>
  <si>
    <t>KPI for First Cycle Success</t>
  </si>
  <si>
    <t>5+ participants = break-even. At 8/8 = 5,584 TJS per cycle</t>
  </si>
  <si>
    <t xml:space="preserve">  PILOT #02  |  🧒 Kids Athletic Lab (6–12 лет)</t>
  </si>
  <si>
    <t>Parents pay for children without hesitation. Martial arts trainer already works with kids. Sat/Sun morning — free hall. Price 500–650 TJS per price list.</t>
  </si>
  <si>
    <t>Children 6–12 yrs (paid by parents)</t>
  </si>
  <si>
    <t>Sat/Sun 10:00–10:55 (Group 1)
Sat/Sun 11:00–11:55 (Group 2)</t>
  </si>
  <si>
    <t>12</t>
  </si>
  <si>
    <t>575 TJS  (12 sessions)</t>
  </si>
  <si>
    <t>6,900 TJS</t>
  </si>
  <si>
    <t>Cones x20, balls x10, mats x15, agility ladders x3</t>
  </si>
  <si>
    <t>8+ children = break-even. At 12/12 = 6,900 TJS per cycle</t>
  </si>
  <si>
    <t xml:space="preserve">  PILOT #03  |  🏥 Healthy Back Express</t>
  </si>
  <si>
    <t>70% of clients are men who lift weights. Back pain is their problem. Medical trigger: when it hurts, they pay without negotiation. Price 698 TJS per price list (mini-group).</t>
  </si>
  <si>
    <t>Men and women 30–55 yrs with back pain</t>
  </si>
  <si>
    <t>Tue/Thu 19:00–19:55 (Prime Time — after work)</t>
  </si>
  <si>
    <t>698 TJS  (8 sessions)</t>
  </si>
  <si>
    <t>Mats x10, foam rollers x8, stability balls x8</t>
  </si>
  <si>
    <t>💰  COMBINED REVENUE 3 PILOTS PER CYCLE (100% capacity):  18,068 TJS  |  Annual (6 cycles):  108,408 TJS</t>
  </si>
  <si>
    <t>📌  STRATEGIC RATIONALE AND ACTION PLAN</t>
  </si>
  <si>
    <t>WHY NOW? (Timing Logic)</t>
  </si>
  <si>
    <t>Post-Ramadan Boom</t>
  </si>
  <si>
    <t>April–May in Central Asia is peak fitness activity month. People want to recover, lose weight, get back in shape. Launching pilots on April 1st — perfect timing.</t>
  </si>
  <si>
    <t>Lack of Competition</t>
  </si>
  <si>
    <t>The premium commercial class segment in Dushanbe is virtually unoccupied. Crocus Fitness with the Crocus Group brand holds a unique position. First mover takes the market.</t>
  </si>
  <si>
    <t>Growing Middle Class</t>
  </si>
  <si>
    <t>Dushanbe 2026: urbanization, IT sector growth, international companies. Affluent audience 25–45 yrs seeking premium fitness products.</t>
  </si>
  <si>
    <t>Cultural Factor</t>
  </si>
  <si>
    <t>Closed women's formats (Strength &amp; Sculpt, Dance) — huge unmet demand. Mothers pay for children without objection. Kickboxing — emerging trend for women in Tajikistan.</t>
  </si>
  <si>
    <t>SUCCESS METRICS (KPIs to Monitor)</t>
  </si>
  <si>
    <t>Conversion Rate (CVR)</t>
  </si>
  <si>
    <t>Target: 30% of audience presented with the offer. With 200 active clients = 60 sign-ups across 3 pilots.</t>
  </si>
  <si>
    <t>LTV per Client</t>
  </si>
  <si>
    <t>VIP Body Transformation client → 837 TJS/cycle × 6 cycles/year = 5,022 TJS/year. That is 2–3× higher than a standard membership.</t>
  </si>
  <si>
    <t>First Cycle ROI</t>
  </si>
  <si>
    <t>At 70% pilot capacity: revenue ~12,000 TJS. Additional costs (trainer incentive, equipment): ~2,500 TJS. ROI = 380%+.</t>
  </si>
  <si>
    <t>Repeat Rate</t>
  </si>
  <si>
    <t>Target: 65%+ re-enrollment after first cycle. Achieved through results, community, and trainer follow-up.</t>
  </si>
  <si>
    <t>ACTION PLAN — NEXT 7 DAYS</t>
  </si>
  <si>
    <t>Day 1–2</t>
  </si>
  <si>
    <t>Assign trainers for 3 pilots. Discuss additional incentive: % of class revenue (recommended 20–25%).</t>
  </si>
  <si>
    <t>Day 3</t>
  </si>
  <si>
    <t>Finalize schedules. Verify hall and equipment availability. Identify gaps → procurement.</t>
  </si>
  <si>
    <t>Day 4–5</t>
  </si>
  <si>
    <t>Prepare announcement: WhatsApp broadcast, reception flyer, briefing for admins.</t>
  </si>
  <si>
    <t>Day 6–7</t>
  </si>
  <si>
    <t>Open registration. Minimum target before launch: 5 people per class. Below that — postpone or replace format.</t>
  </si>
  <si>
    <t>Revenue Strategy Report  ·  Prepared by Khudoidodov Bogdan  ·  LinkedIn: linkedin.com/in/bogdan-khudoidodov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</si>
</sst>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TJS&quot;"/>
  </numFmts>
  <fonts count="17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B0BEC5"/>
      <name val="Arial"/>
      <family val="2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1A1A2E"/>
      <name val="Arial"/>
      <family val="2"/>
    </font>
    <font>
      <b/>
      <sz val="9"/>
      <color rgb="FFFFFFFF"/>
      <name val="Arial"/>
      <family val="2"/>
    </font>
    <font>
      <b/>
      <sz val="10"/>
      <color rgb="FF1A1A2E"/>
      <name val="Arial"/>
      <family val="2"/>
    </font>
    <font>
      <sz val="10"/>
      <color rgb="FF1A1A2E"/>
      <name val="Arial"/>
      <family val="2"/>
    </font>
    <font>
      <b/>
      <sz val="10"/>
      <color rgb="FF0F3460"/>
      <name val="Arial"/>
      <family val="2"/>
    </font>
    <font>
      <b/>
      <sz val="11"/>
      <color rgb="FFFFFFFF"/>
      <name val="Arial"/>
      <family val="2"/>
    </font>
    <font>
      <b/>
      <sz val="13"/>
      <color rgb="FFE94560"/>
      <name val="Arial"/>
      <family val="2"/>
    </font>
    <font>
      <b/>
      <sz val="14"/>
      <color rgb="FFFFFFFF"/>
      <name val="Arial"/>
      <family val="2"/>
    </font>
    <font>
      <i/>
      <sz val="9"/>
      <color rgb="FF1A1A2E"/>
      <name val="Arial"/>
      <family val="2"/>
    </font>
    <font>
      <i/>
      <sz val="10"/>
      <color rgb="FF555555"/>
      <name val="Arial"/>
      <family val="2"/>
    </font>
    <font>
      <b/>
      <sz val="9"/>
      <color rgb="FF1A1A2E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27AE60"/>
        <bgColor rgb="FF008080"/>
      </patternFill>
    </fill>
    <fill>
      <patternFill patternType="solid">
        <fgColor rgb="FF0F3460"/>
        <bgColor rgb="FF16213E"/>
      </patternFill>
    </fill>
    <fill>
      <patternFill patternType="solid">
        <fgColor rgb="FFE94560"/>
        <bgColor rgb="FF993366"/>
      </patternFill>
    </fill>
    <fill>
      <patternFill patternType="solid">
        <fgColor rgb="FFF39C12"/>
        <bgColor rgb="FFFFCC00"/>
      </patternFill>
    </fill>
    <fill>
      <patternFill patternType="solid">
        <fgColor rgb="FFF5F7FA"/>
        <bgColor rgb="FFFFFFFF"/>
      </patternFill>
    </fill>
    <fill>
      <patternFill patternType="solid">
        <fgColor rgb="FFFFE8E8"/>
        <bgColor rgb="FFFFE0CC"/>
      </patternFill>
    </fill>
    <fill>
      <patternFill patternType="solid">
        <fgColor rgb="FFFFF8E1"/>
        <bgColor rgb="FFF5F7FA"/>
      </patternFill>
    </fill>
    <fill>
      <patternFill patternType="solid">
        <fgColor rgb="FFE8F5E9"/>
        <bgColor rgb="FFF5F7FA"/>
      </patternFill>
    </fill>
    <fill>
      <patternFill patternType="solid">
        <fgColor rgb="FFD5D8DC"/>
        <bgColor rgb="FFD4F4DD"/>
      </patternFill>
    </fill>
    <fill>
      <patternFill patternType="solid">
        <fgColor rgb="FFFFE0CC"/>
        <bgColor rgb="FFFFE8E8"/>
      </patternFill>
    </fill>
    <fill>
      <patternFill patternType="solid">
        <fgColor rgb="FFD4F4DD"/>
        <bgColor rgb="FFE8F5E9"/>
      </patternFill>
    </fill>
  </fills>
  <borders count="5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medium">
        <color rgb="FF1A1A2E"/>
      </left>
      <right/>
      <top style="medium">
        <color rgb="FF1A1A2E"/>
      </top>
      <bottom style="medium">
        <color rgb="FF1A1A2E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medium">
        <color rgb="FF1A1A2E"/>
      </left>
      <right style="medium">
        <color rgb="FF1A1A2E"/>
      </right>
      <top style="medium">
        <color rgb="FF1A1A2E"/>
      </top>
      <bottom style="medium">
        <color rgb="FF1A1A2E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8" fillId="9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164" fontId="9" fillId="9" borderId="1" xfId="0" applyNumberFormat="1" applyFont="1" applyFill="1" applyBorder="1" applyAlignment="1">
      <alignment horizontal="center" vertical="center" wrapText="1"/>
    </xf>
    <xf numFmtId="164" fontId="8" fillId="9" borderId="1" xfId="0" applyNumberFormat="1" applyFont="1" applyFill="1" applyBorder="1" applyAlignment="1">
      <alignment horizontal="center" vertical="center" wrapText="1"/>
    </xf>
    <xf numFmtId="164" fontId="10" fillId="9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64" fontId="9" fillId="10" borderId="1" xfId="0" applyNumberFormat="1" applyFont="1" applyFill="1" applyBorder="1" applyAlignment="1">
      <alignment horizontal="center" vertical="center" wrapText="1"/>
    </xf>
    <xf numFmtId="164" fontId="8" fillId="10" borderId="1" xfId="0" applyNumberFormat="1" applyFont="1" applyFill="1" applyBorder="1" applyAlignment="1">
      <alignment horizontal="center" vertical="center" wrapText="1"/>
    </xf>
    <xf numFmtId="164" fontId="10" fillId="10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164" fontId="9" fillId="11" borderId="1" xfId="0" applyNumberFormat="1" applyFont="1" applyFill="1" applyBorder="1" applyAlignment="1">
      <alignment horizontal="center" vertical="center" wrapText="1"/>
    </xf>
    <xf numFmtId="164" fontId="8" fillId="11" borderId="1" xfId="0" applyNumberFormat="1" applyFont="1" applyFill="1" applyBorder="1" applyAlignment="1">
      <alignment horizontal="center" vertical="center" wrapText="1"/>
    </xf>
    <xf numFmtId="164" fontId="10" fillId="11" borderId="1" xfId="0" applyNumberFormat="1" applyFont="1" applyFill="1" applyBorder="1" applyAlignment="1">
      <alignment horizontal="center" vertical="center" wrapText="1"/>
    </xf>
    <xf numFmtId="164" fontId="11" fillId="2" borderId="4" xfId="0" applyNumberFormat="1" applyFont="1" applyFill="1" applyBorder="1" applyAlignment="1">
      <alignment horizontal="center" vertical="center" wrapText="1"/>
    </xf>
    <xf numFmtId="0" fontId="0" fillId="2" borderId="4" xfId="0" applyFill="1" applyBorder="1"/>
    <xf numFmtId="164" fontId="12" fillId="2" borderId="4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left" vertical="center" wrapText="1"/>
    </xf>
    <xf numFmtId="0" fontId="8" fillId="11" borderId="3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right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0" fontId="16" fillId="12" borderId="3" xfId="0" applyFont="1" applyFill="1" applyBorder="1" applyAlignment="1">
      <alignment horizontal="left" vertical="center" wrapText="1"/>
    </xf>
    <xf numFmtId="0" fontId="8" fillId="13" borderId="3" xfId="0" applyFont="1" applyFill="1" applyBorder="1" applyAlignment="1">
      <alignment horizontal="left" vertical="center" wrapText="1"/>
    </xf>
    <xf numFmtId="0" fontId="9" fillId="13" borderId="3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8" fillId="14" borderId="3" xfId="0" applyFont="1" applyFill="1" applyBorder="1" applyAlignment="1">
      <alignment horizontal="left" vertical="center" wrapText="1"/>
    </xf>
    <xf numFmtId="0" fontId="9" fillId="14" borderId="3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/>
    </xf>
    <xf numFmtId="0" fontId="9" fillId="10" borderId="3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left" vertical="center"/>
    </xf>
    <xf numFmtId="0" fontId="8" fillId="12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D4F4DD"/>
      <rgbColor rgb="FFFFE8E8"/>
      <rgbColor rgb="FFB0BEC5"/>
      <rgbColor rgb="FFFF99CC"/>
      <rgbColor rgb="FFCC99FF"/>
      <rgbColor rgb="FFFFE0CC"/>
      <rgbColor rgb="FF3366FF"/>
      <rgbColor rgb="FF33CCCC"/>
      <rgbColor rgb="FF99CC00"/>
      <rgbColor rgb="FFFFCC00"/>
      <rgbColor rgb="FFF39C12"/>
      <rgbColor rgb="FFE94560"/>
      <rgbColor rgb="FF555555"/>
      <rgbColor rgb="FF969696"/>
      <rgbColor rgb="FF0F3460"/>
      <rgbColor rgb="FF27AE60"/>
      <rgbColor rgb="FF003300"/>
      <rgbColor rgb="FF1A1A2E"/>
      <rgbColor rgb="FF993300"/>
      <rgbColor rgb="FF993366"/>
      <rgbColor rgb="FF333399"/>
      <rgbColor rgb="FF1621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showGridLines="0" topLeftCell="A11" zoomScaleNormal="100" workbookViewId="0">
      <selection activeCell="N4" sqref="N4"/>
    </sheetView>
  </sheetViews>
  <sheetFormatPr defaultColWidth="8.6640625" defaultRowHeight="14.4" x14ac:dyDescent="0.3"/>
  <cols>
    <col min="1" max="1" width="4" customWidth="1"/>
    <col min="2" max="2" width="22" customWidth="1"/>
    <col min="3" max="3" width="5" customWidth="1"/>
    <col min="4" max="4" width="16" customWidth="1"/>
    <col min="5" max="6" width="8" customWidth="1"/>
    <col min="7" max="7" width="16" customWidth="1"/>
    <col min="8" max="8" width="18" customWidth="1"/>
    <col min="9" max="9" width="12" customWidth="1"/>
    <col min="10" max="10" width="22" customWidth="1"/>
    <col min="11" max="11" width="14" customWidth="1"/>
    <col min="12" max="12" width="18" customWidth="1"/>
  </cols>
  <sheetData>
    <row r="1" spans="1:12" ht="39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1.75" customHeight="1" x14ac:dyDescent="0.3">
      <c r="A2" s="13" t="s">
        <v>198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ht="12" customHeight="1" x14ac:dyDescent="0.3">
      <c r="A4" s="12" t="s">
        <v>1</v>
      </c>
      <c r="B4" s="12"/>
      <c r="C4" s="12"/>
      <c r="D4" s="11" t="s">
        <v>2</v>
      </c>
      <c r="E4" s="11"/>
      <c r="F4" s="11"/>
      <c r="G4" s="10" t="s">
        <v>3</v>
      </c>
      <c r="H4" s="10"/>
      <c r="I4" s="10"/>
      <c r="J4" s="9" t="s">
        <v>4</v>
      </c>
      <c r="K4" s="9"/>
      <c r="L4" s="9"/>
    </row>
    <row r="5" spans="1:12" x14ac:dyDescent="0.3">
      <c r="A5" s="12"/>
      <c r="B5" s="12"/>
      <c r="C5" s="12"/>
      <c r="D5" s="11"/>
      <c r="E5" s="11"/>
      <c r="F5" s="11"/>
      <c r="G5" s="10"/>
      <c r="H5" s="10"/>
      <c r="I5" s="10"/>
      <c r="J5" s="9"/>
      <c r="K5" s="9"/>
      <c r="L5" s="9"/>
    </row>
    <row r="6" spans="1:12" x14ac:dyDescent="0.3">
      <c r="A6" s="12"/>
      <c r="B6" s="12"/>
      <c r="C6" s="12"/>
      <c r="D6" s="11"/>
      <c r="E6" s="11"/>
      <c r="F6" s="11"/>
      <c r="G6" s="10"/>
      <c r="H6" s="10"/>
      <c r="I6" s="10"/>
      <c r="J6" s="9"/>
      <c r="K6" s="9"/>
      <c r="L6" s="9"/>
    </row>
    <row r="7" spans="1:12" x14ac:dyDescent="0.3">
      <c r="A7" s="12"/>
      <c r="B7" s="12"/>
      <c r="C7" s="12"/>
      <c r="D7" s="11"/>
      <c r="E7" s="11"/>
      <c r="F7" s="11"/>
      <c r="G7" s="10"/>
      <c r="H7" s="10"/>
      <c r="I7" s="10"/>
      <c r="J7" s="9"/>
      <c r="K7" s="9"/>
      <c r="L7" s="9"/>
    </row>
    <row r="8" spans="1:12" ht="15" customHeight="1" x14ac:dyDescent="0.3"/>
    <row r="9" spans="1:12" ht="27.75" customHeight="1" x14ac:dyDescent="0.3">
      <c r="A9" s="8" t="s">
        <v>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ht="24" customHeight="1" x14ac:dyDescent="0.3">
      <c r="A10" s="7" t="s">
        <v>6</v>
      </c>
      <c r="B10" s="7"/>
      <c r="C10" s="7"/>
      <c r="D10" s="6" t="s">
        <v>7</v>
      </c>
      <c r="E10" s="6"/>
      <c r="F10" s="6"/>
      <c r="G10" s="5" t="s">
        <v>8</v>
      </c>
      <c r="H10" s="5"/>
      <c r="I10" s="5"/>
      <c r="J10" s="4" t="s">
        <v>9</v>
      </c>
      <c r="K10" s="4"/>
      <c r="L10" s="4"/>
    </row>
    <row r="11" spans="1:12" ht="19.5" customHeight="1" x14ac:dyDescent="0.3">
      <c r="A11" s="3" t="s">
        <v>10</v>
      </c>
      <c r="B11" s="3"/>
      <c r="C11" s="3"/>
      <c r="D11" s="3" t="s">
        <v>11</v>
      </c>
      <c r="E11" s="3"/>
      <c r="F11" s="3"/>
      <c r="G11" s="3" t="s">
        <v>12</v>
      </c>
      <c r="H11" s="3"/>
      <c r="I11" s="3"/>
      <c r="J11" s="3" t="s">
        <v>13</v>
      </c>
      <c r="K11" s="3"/>
      <c r="L11" s="3"/>
    </row>
    <row r="12" spans="1:12" ht="19.5" customHeight="1" x14ac:dyDescent="0.3">
      <c r="A12" s="3" t="s">
        <v>14</v>
      </c>
      <c r="B12" s="3"/>
      <c r="C12" s="3"/>
      <c r="D12" s="3" t="s">
        <v>15</v>
      </c>
      <c r="E12" s="3"/>
      <c r="F12" s="3"/>
      <c r="G12" s="3" t="s">
        <v>16</v>
      </c>
      <c r="H12" s="3"/>
      <c r="I12" s="3"/>
      <c r="J12" s="3" t="s">
        <v>17</v>
      </c>
      <c r="K12" s="3"/>
      <c r="L12" s="3"/>
    </row>
    <row r="13" spans="1:12" ht="19.5" customHeight="1" x14ac:dyDescent="0.3">
      <c r="A13" s="3" t="s">
        <v>18</v>
      </c>
      <c r="B13" s="3"/>
      <c r="C13" s="3"/>
      <c r="D13" s="3" t="s">
        <v>19</v>
      </c>
      <c r="E13" s="3"/>
      <c r="F13" s="3"/>
      <c r="G13" s="3" t="s">
        <v>20</v>
      </c>
      <c r="H13" s="3"/>
      <c r="I13" s="3"/>
      <c r="J13" s="3" t="s">
        <v>21</v>
      </c>
      <c r="K13" s="3"/>
      <c r="L13" s="3"/>
    </row>
    <row r="14" spans="1:12" ht="19.5" customHeight="1" x14ac:dyDescent="0.3">
      <c r="A14" s="3" t="s">
        <v>22</v>
      </c>
      <c r="B14" s="3"/>
      <c r="C14" s="3"/>
      <c r="D14" s="3" t="s">
        <v>23</v>
      </c>
      <c r="E14" s="3"/>
      <c r="F14" s="3"/>
      <c r="G14" s="3" t="s">
        <v>24</v>
      </c>
      <c r="H14" s="3"/>
      <c r="I14" s="3"/>
      <c r="J14" s="3" t="s">
        <v>25</v>
      </c>
      <c r="K14" s="3"/>
      <c r="L14" s="3"/>
    </row>
    <row r="15" spans="1:12" ht="15" customHeight="1" x14ac:dyDescent="0.3"/>
    <row r="16" spans="1:12" ht="27.75" customHeight="1" x14ac:dyDescent="0.3">
      <c r="A16" s="8" t="s">
        <v>26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 ht="31.5" customHeight="1" x14ac:dyDescent="0.3">
      <c r="A17" s="15" t="s">
        <v>27</v>
      </c>
      <c r="B17" s="2" t="s">
        <v>28</v>
      </c>
      <c r="C17" s="2"/>
      <c r="D17" s="15" t="s">
        <v>29</v>
      </c>
      <c r="E17" s="15" t="s">
        <v>30</v>
      </c>
      <c r="F17" s="15" t="s">
        <v>31</v>
      </c>
      <c r="G17" s="15" t="s">
        <v>32</v>
      </c>
      <c r="H17" s="15" t="s">
        <v>33</v>
      </c>
      <c r="I17" s="15" t="s">
        <v>34</v>
      </c>
      <c r="J17" s="15" t="s">
        <v>35</v>
      </c>
      <c r="K17" s="15" t="s">
        <v>36</v>
      </c>
      <c r="L17" s="15" t="s">
        <v>37</v>
      </c>
    </row>
    <row r="18" spans="1:12" ht="21.75" customHeight="1" x14ac:dyDescent="0.3">
      <c r="A18" s="16">
        <v>1</v>
      </c>
      <c r="B18" s="1" t="s">
        <v>38</v>
      </c>
      <c r="C18" s="1"/>
      <c r="D18" s="17" t="s">
        <v>39</v>
      </c>
      <c r="E18" s="17">
        <v>5</v>
      </c>
      <c r="F18" s="17">
        <v>10</v>
      </c>
      <c r="G18" s="18">
        <v>837</v>
      </c>
      <c r="H18" s="19">
        <f t="shared" ref="H18:H27" si="0">E18*G18</f>
        <v>4185</v>
      </c>
      <c r="I18" s="17">
        <v>6</v>
      </c>
      <c r="J18" s="20">
        <f t="shared" ref="J18:J27" si="1">H18*I18</f>
        <v>25110</v>
      </c>
      <c r="K18" s="16" t="s">
        <v>40</v>
      </c>
      <c r="L18" s="17" t="s">
        <v>41</v>
      </c>
    </row>
    <row r="19" spans="1:12" ht="21.75" customHeight="1" x14ac:dyDescent="0.3">
      <c r="A19" s="16">
        <v>2</v>
      </c>
      <c r="B19" s="1" t="s">
        <v>42</v>
      </c>
      <c r="C19" s="1"/>
      <c r="D19" s="17" t="s">
        <v>39</v>
      </c>
      <c r="E19" s="17">
        <v>8</v>
      </c>
      <c r="F19" s="17">
        <v>10</v>
      </c>
      <c r="G19" s="18">
        <v>698</v>
      </c>
      <c r="H19" s="19">
        <f t="shared" si="0"/>
        <v>5584</v>
      </c>
      <c r="I19" s="17">
        <v>6</v>
      </c>
      <c r="J19" s="20">
        <f t="shared" si="1"/>
        <v>33504</v>
      </c>
      <c r="K19" s="16" t="s">
        <v>43</v>
      </c>
      <c r="L19" s="17" t="s">
        <v>44</v>
      </c>
    </row>
    <row r="20" spans="1:12" ht="21.75" customHeight="1" x14ac:dyDescent="0.3">
      <c r="A20" s="16">
        <v>3</v>
      </c>
      <c r="B20" s="1" t="s">
        <v>45</v>
      </c>
      <c r="C20" s="1"/>
      <c r="D20" s="17" t="s">
        <v>39</v>
      </c>
      <c r="E20" s="17">
        <v>6</v>
      </c>
      <c r="F20" s="17">
        <v>10</v>
      </c>
      <c r="G20" s="18">
        <v>837</v>
      </c>
      <c r="H20" s="19">
        <f t="shared" si="0"/>
        <v>5022</v>
      </c>
      <c r="I20" s="17">
        <v>6</v>
      </c>
      <c r="J20" s="20">
        <f t="shared" si="1"/>
        <v>30132</v>
      </c>
      <c r="K20" s="16" t="s">
        <v>40</v>
      </c>
      <c r="L20" s="17" t="s">
        <v>46</v>
      </c>
    </row>
    <row r="21" spans="1:12" ht="21.75" customHeight="1" x14ac:dyDescent="0.3">
      <c r="A21" s="21">
        <v>4</v>
      </c>
      <c r="B21" s="43" t="s">
        <v>47</v>
      </c>
      <c r="C21" s="43"/>
      <c r="D21" s="22" t="s">
        <v>48</v>
      </c>
      <c r="E21" s="22">
        <v>10</v>
      </c>
      <c r="F21" s="22">
        <v>10</v>
      </c>
      <c r="G21" s="23">
        <v>400</v>
      </c>
      <c r="H21" s="24">
        <f t="shared" si="0"/>
        <v>4000</v>
      </c>
      <c r="I21" s="22">
        <v>6</v>
      </c>
      <c r="J21" s="25">
        <f t="shared" si="1"/>
        <v>24000</v>
      </c>
      <c r="K21" s="21" t="s">
        <v>49</v>
      </c>
      <c r="L21" s="22" t="s">
        <v>44</v>
      </c>
    </row>
    <row r="22" spans="1:12" ht="21.75" customHeight="1" x14ac:dyDescent="0.3">
      <c r="A22" s="16">
        <v>5</v>
      </c>
      <c r="B22" s="1" t="s">
        <v>50</v>
      </c>
      <c r="C22" s="1"/>
      <c r="D22" s="17" t="s">
        <v>39</v>
      </c>
      <c r="E22" s="17">
        <v>5</v>
      </c>
      <c r="F22" s="17">
        <v>10</v>
      </c>
      <c r="G22" s="18">
        <v>837</v>
      </c>
      <c r="H22" s="19">
        <f t="shared" si="0"/>
        <v>4185</v>
      </c>
      <c r="I22" s="17">
        <v>6</v>
      </c>
      <c r="J22" s="20">
        <f t="shared" si="1"/>
        <v>25110</v>
      </c>
      <c r="K22" s="16" t="s">
        <v>40</v>
      </c>
      <c r="L22" s="17" t="s">
        <v>51</v>
      </c>
    </row>
    <row r="23" spans="1:12" ht="21.75" customHeight="1" x14ac:dyDescent="0.3">
      <c r="A23" s="26">
        <v>6</v>
      </c>
      <c r="B23" s="44" t="s">
        <v>52</v>
      </c>
      <c r="C23" s="44"/>
      <c r="D23" s="27" t="s">
        <v>53</v>
      </c>
      <c r="E23" s="27">
        <v>12</v>
      </c>
      <c r="F23" s="27">
        <v>12</v>
      </c>
      <c r="G23" s="28">
        <v>575</v>
      </c>
      <c r="H23" s="29">
        <f t="shared" si="0"/>
        <v>6900</v>
      </c>
      <c r="I23" s="27">
        <v>6</v>
      </c>
      <c r="J23" s="30">
        <f t="shared" si="1"/>
        <v>41400</v>
      </c>
      <c r="K23" s="26" t="s">
        <v>43</v>
      </c>
      <c r="L23" s="27" t="s">
        <v>54</v>
      </c>
    </row>
    <row r="24" spans="1:12" ht="21.75" customHeight="1" x14ac:dyDescent="0.3">
      <c r="A24" s="21">
        <v>7</v>
      </c>
      <c r="B24" s="43" t="s">
        <v>55</v>
      </c>
      <c r="C24" s="43"/>
      <c r="D24" s="22" t="s">
        <v>48</v>
      </c>
      <c r="E24" s="22">
        <v>10</v>
      </c>
      <c r="F24" s="22">
        <v>10</v>
      </c>
      <c r="G24" s="23">
        <v>400</v>
      </c>
      <c r="H24" s="24">
        <f t="shared" si="0"/>
        <v>4000</v>
      </c>
      <c r="I24" s="22">
        <v>6</v>
      </c>
      <c r="J24" s="25">
        <f t="shared" si="1"/>
        <v>24000</v>
      </c>
      <c r="K24" s="21" t="s">
        <v>56</v>
      </c>
      <c r="L24" s="22" t="s">
        <v>57</v>
      </c>
    </row>
    <row r="25" spans="1:12" ht="21.75" customHeight="1" x14ac:dyDescent="0.3">
      <c r="A25" s="16">
        <v>8</v>
      </c>
      <c r="B25" s="1" t="s">
        <v>58</v>
      </c>
      <c r="C25" s="1"/>
      <c r="D25" s="17" t="s">
        <v>39</v>
      </c>
      <c r="E25" s="17">
        <v>8</v>
      </c>
      <c r="F25" s="17">
        <v>8</v>
      </c>
      <c r="G25" s="18">
        <v>698</v>
      </c>
      <c r="H25" s="19">
        <f t="shared" si="0"/>
        <v>5584</v>
      </c>
      <c r="I25" s="17">
        <v>6</v>
      </c>
      <c r="J25" s="20">
        <f t="shared" si="1"/>
        <v>33504</v>
      </c>
      <c r="K25" s="16" t="s">
        <v>43</v>
      </c>
      <c r="L25" s="17" t="s">
        <v>46</v>
      </c>
    </row>
    <row r="26" spans="1:12" ht="21.75" customHeight="1" x14ac:dyDescent="0.3">
      <c r="A26" s="21">
        <v>9</v>
      </c>
      <c r="B26" s="43" t="s">
        <v>59</v>
      </c>
      <c r="C26" s="43"/>
      <c r="D26" s="22" t="s">
        <v>48</v>
      </c>
      <c r="E26" s="22">
        <v>15</v>
      </c>
      <c r="F26" s="22">
        <v>10</v>
      </c>
      <c r="G26" s="23">
        <v>400</v>
      </c>
      <c r="H26" s="24">
        <f t="shared" si="0"/>
        <v>6000</v>
      </c>
      <c r="I26" s="22">
        <v>6</v>
      </c>
      <c r="J26" s="25">
        <f t="shared" si="1"/>
        <v>36000</v>
      </c>
      <c r="K26" s="21" t="s">
        <v>56</v>
      </c>
      <c r="L26" s="22" t="s">
        <v>60</v>
      </c>
    </row>
    <row r="27" spans="1:12" ht="21.75" customHeight="1" x14ac:dyDescent="0.3">
      <c r="A27" s="21">
        <v>10</v>
      </c>
      <c r="B27" s="43" t="s">
        <v>61</v>
      </c>
      <c r="C27" s="43"/>
      <c r="D27" s="22" t="s">
        <v>48</v>
      </c>
      <c r="E27" s="22">
        <v>15</v>
      </c>
      <c r="F27" s="22">
        <v>8</v>
      </c>
      <c r="G27" s="23">
        <v>320</v>
      </c>
      <c r="H27" s="24">
        <f t="shared" si="0"/>
        <v>4800</v>
      </c>
      <c r="I27" s="22">
        <v>6</v>
      </c>
      <c r="J27" s="25">
        <f t="shared" si="1"/>
        <v>28800</v>
      </c>
      <c r="K27" s="21" t="s">
        <v>56</v>
      </c>
      <c r="L27" s="22" t="s">
        <v>62</v>
      </c>
    </row>
    <row r="28" spans="1:12" ht="27.75" customHeight="1" x14ac:dyDescent="0.3">
      <c r="A28" s="45" t="s">
        <v>63</v>
      </c>
      <c r="B28" s="45"/>
      <c r="C28" s="45"/>
      <c r="D28" s="45"/>
      <c r="E28" s="45"/>
      <c r="F28" s="45"/>
      <c r="G28" s="45"/>
      <c r="H28" s="31">
        <f>SUM(H18:H27)</f>
        <v>50260</v>
      </c>
      <c r="I28" s="32"/>
      <c r="J28" s="33">
        <f>SUM(J18:J27)</f>
        <v>301560</v>
      </c>
      <c r="K28" s="32"/>
      <c r="L28" s="32"/>
    </row>
  </sheetData>
  <mergeCells count="40">
    <mergeCell ref="B26:C26"/>
    <mergeCell ref="B27:C27"/>
    <mergeCell ref="A28:G28"/>
    <mergeCell ref="B21:C21"/>
    <mergeCell ref="B22:C22"/>
    <mergeCell ref="B23:C23"/>
    <mergeCell ref="B24:C24"/>
    <mergeCell ref="B25:C25"/>
    <mergeCell ref="A16:L16"/>
    <mergeCell ref="B17:C17"/>
    <mergeCell ref="B18:C18"/>
    <mergeCell ref="B19:C19"/>
    <mergeCell ref="B20:C20"/>
    <mergeCell ref="A13:C13"/>
    <mergeCell ref="D13:F13"/>
    <mergeCell ref="G13:I13"/>
    <mergeCell ref="J13:L13"/>
    <mergeCell ref="A14:C14"/>
    <mergeCell ref="D14:F14"/>
    <mergeCell ref="G14:I14"/>
    <mergeCell ref="J14:L14"/>
    <mergeCell ref="A11:C11"/>
    <mergeCell ref="D11:F11"/>
    <mergeCell ref="G11:I11"/>
    <mergeCell ref="J11:L11"/>
    <mergeCell ref="A12:C12"/>
    <mergeCell ref="D12:F12"/>
    <mergeCell ref="G12:I12"/>
    <mergeCell ref="J12:L12"/>
    <mergeCell ref="A9:L9"/>
    <mergeCell ref="A10:C10"/>
    <mergeCell ref="D10:F10"/>
    <mergeCell ref="G10:I10"/>
    <mergeCell ref="J10:L10"/>
    <mergeCell ref="A1:L1"/>
    <mergeCell ref="A2:L2"/>
    <mergeCell ref="A4:C7"/>
    <mergeCell ref="D4:F7"/>
    <mergeCell ref="G4:I7"/>
    <mergeCell ref="J4:L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"/>
  <sheetViews>
    <sheetView showGridLines="0" tabSelected="1" zoomScaleNormal="100" workbookViewId="0">
      <selection sqref="A1:N1"/>
    </sheetView>
  </sheetViews>
  <sheetFormatPr defaultColWidth="8.6640625" defaultRowHeight="14.4" x14ac:dyDescent="0.3"/>
  <cols>
    <col min="1" max="1" width="4" customWidth="1"/>
    <col min="2" max="2" width="26" customWidth="1"/>
    <col min="3" max="3" width="12" customWidth="1"/>
    <col min="4" max="4" width="32" customWidth="1"/>
    <col min="5" max="6" width="9" customWidth="1"/>
    <col min="7" max="7" width="10" customWidth="1"/>
    <col min="8" max="8" width="14" customWidth="1"/>
    <col min="9" max="9" width="16" customWidth="1"/>
    <col min="10" max="10" width="28" customWidth="1"/>
    <col min="11" max="11" width="30" customWidth="1"/>
    <col min="12" max="12" width="40" customWidth="1"/>
    <col min="13" max="13" width="32" customWidth="1"/>
    <col min="14" max="14" width="14" customWidth="1"/>
  </cols>
  <sheetData>
    <row r="1" spans="1:14" ht="37.5" customHeight="1" x14ac:dyDescent="0.3">
      <c r="A1" s="46" t="s">
        <v>64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ht="36" customHeight="1" x14ac:dyDescent="0.3">
      <c r="A2" s="15" t="s">
        <v>27</v>
      </c>
      <c r="B2" s="15" t="s">
        <v>65</v>
      </c>
      <c r="C2" s="15" t="s">
        <v>66</v>
      </c>
      <c r="D2" s="15" t="s">
        <v>67</v>
      </c>
      <c r="E2" s="15" t="s">
        <v>68</v>
      </c>
      <c r="F2" s="15" t="s">
        <v>69</v>
      </c>
      <c r="G2" s="15" t="s">
        <v>70</v>
      </c>
      <c r="H2" s="15" t="s">
        <v>71</v>
      </c>
      <c r="I2" s="15" t="s">
        <v>72</v>
      </c>
      <c r="J2" s="15" t="s">
        <v>73</v>
      </c>
      <c r="K2" s="15" t="s">
        <v>74</v>
      </c>
      <c r="L2" s="15" t="s">
        <v>75</v>
      </c>
      <c r="M2" s="15" t="s">
        <v>76</v>
      </c>
      <c r="N2" s="15" t="s">
        <v>77</v>
      </c>
    </row>
    <row r="3" spans="1:14" ht="54.75" customHeight="1" x14ac:dyDescent="0.3">
      <c r="A3" s="16">
        <v>1</v>
      </c>
      <c r="B3" s="34" t="s">
        <v>38</v>
      </c>
      <c r="C3" s="16" t="s">
        <v>78</v>
      </c>
      <c r="D3" s="35" t="s">
        <v>79</v>
      </c>
      <c r="E3" s="17">
        <v>10</v>
      </c>
      <c r="F3" s="17">
        <v>55</v>
      </c>
      <c r="G3" s="17">
        <v>5</v>
      </c>
      <c r="H3" s="19">
        <v>837</v>
      </c>
      <c r="I3" s="20">
        <f t="shared" ref="I3:I12" si="0">G3*H3</f>
        <v>4185</v>
      </c>
      <c r="J3" s="35" t="s">
        <v>80</v>
      </c>
      <c r="K3" s="35" t="s">
        <v>81</v>
      </c>
      <c r="L3" s="35" t="s">
        <v>82</v>
      </c>
      <c r="M3" s="36" t="s">
        <v>83</v>
      </c>
      <c r="N3" s="16" t="s">
        <v>84</v>
      </c>
    </row>
    <row r="4" spans="1:14" ht="54.75" customHeight="1" x14ac:dyDescent="0.3">
      <c r="A4" s="16">
        <v>2</v>
      </c>
      <c r="B4" s="34" t="s">
        <v>42</v>
      </c>
      <c r="C4" s="16" t="s">
        <v>78</v>
      </c>
      <c r="D4" s="35" t="s">
        <v>85</v>
      </c>
      <c r="E4" s="17">
        <v>10</v>
      </c>
      <c r="F4" s="17">
        <v>55</v>
      </c>
      <c r="G4" s="17">
        <v>8</v>
      </c>
      <c r="H4" s="19">
        <v>698</v>
      </c>
      <c r="I4" s="20">
        <f t="shared" si="0"/>
        <v>5584</v>
      </c>
      <c r="J4" s="35" t="s">
        <v>86</v>
      </c>
      <c r="K4" s="35" t="s">
        <v>87</v>
      </c>
      <c r="L4" s="35" t="s">
        <v>88</v>
      </c>
      <c r="M4" s="36" t="s">
        <v>89</v>
      </c>
      <c r="N4" s="16" t="s">
        <v>84</v>
      </c>
    </row>
    <row r="5" spans="1:14" ht="54.75" customHeight="1" x14ac:dyDescent="0.3">
      <c r="A5" s="16">
        <v>3</v>
      </c>
      <c r="B5" s="34" t="s">
        <v>45</v>
      </c>
      <c r="C5" s="16" t="s">
        <v>78</v>
      </c>
      <c r="D5" s="35" t="s">
        <v>90</v>
      </c>
      <c r="E5" s="17">
        <v>10</v>
      </c>
      <c r="F5" s="17">
        <v>55</v>
      </c>
      <c r="G5" s="17">
        <v>6</v>
      </c>
      <c r="H5" s="19">
        <v>837</v>
      </c>
      <c r="I5" s="20">
        <f t="shared" si="0"/>
        <v>5022</v>
      </c>
      <c r="J5" s="35" t="s">
        <v>91</v>
      </c>
      <c r="K5" s="35" t="s">
        <v>92</v>
      </c>
      <c r="L5" s="35" t="s">
        <v>93</v>
      </c>
      <c r="M5" s="36" t="s">
        <v>94</v>
      </c>
      <c r="N5" s="16" t="s">
        <v>95</v>
      </c>
    </row>
    <row r="6" spans="1:14" ht="54.75" customHeight="1" x14ac:dyDescent="0.3">
      <c r="A6" s="21">
        <v>4</v>
      </c>
      <c r="B6" s="37" t="s">
        <v>47</v>
      </c>
      <c r="C6" s="21" t="s">
        <v>96</v>
      </c>
      <c r="D6" s="38" t="s">
        <v>97</v>
      </c>
      <c r="E6" s="22">
        <v>10</v>
      </c>
      <c r="F6" s="22">
        <v>55</v>
      </c>
      <c r="G6" s="22">
        <v>10</v>
      </c>
      <c r="H6" s="24">
        <v>400</v>
      </c>
      <c r="I6" s="25">
        <f t="shared" si="0"/>
        <v>4000</v>
      </c>
      <c r="J6" s="38" t="s">
        <v>98</v>
      </c>
      <c r="K6" s="38" t="s">
        <v>99</v>
      </c>
      <c r="L6" s="38" t="s">
        <v>100</v>
      </c>
      <c r="M6" s="39" t="s">
        <v>101</v>
      </c>
      <c r="N6" s="21" t="s">
        <v>95</v>
      </c>
    </row>
    <row r="7" spans="1:14" ht="54.75" customHeight="1" x14ac:dyDescent="0.3">
      <c r="A7" s="16">
        <v>5</v>
      </c>
      <c r="B7" s="34" t="s">
        <v>50</v>
      </c>
      <c r="C7" s="16" t="s">
        <v>78</v>
      </c>
      <c r="D7" s="35" t="s">
        <v>102</v>
      </c>
      <c r="E7" s="17">
        <v>10</v>
      </c>
      <c r="F7" s="17">
        <v>90</v>
      </c>
      <c r="G7" s="17">
        <v>5</v>
      </c>
      <c r="H7" s="19">
        <v>837</v>
      </c>
      <c r="I7" s="20">
        <f t="shared" si="0"/>
        <v>4185</v>
      </c>
      <c r="J7" s="35" t="s">
        <v>103</v>
      </c>
      <c r="K7" s="35" t="s">
        <v>104</v>
      </c>
      <c r="L7" s="35" t="s">
        <v>105</v>
      </c>
      <c r="M7" s="36" t="s">
        <v>106</v>
      </c>
      <c r="N7" s="16" t="s">
        <v>107</v>
      </c>
    </row>
    <row r="8" spans="1:14" ht="54.75" customHeight="1" x14ac:dyDescent="0.3">
      <c r="A8" s="26">
        <v>6</v>
      </c>
      <c r="B8" s="40" t="s">
        <v>108</v>
      </c>
      <c r="C8" s="26" t="s">
        <v>109</v>
      </c>
      <c r="D8" s="41" t="s">
        <v>110</v>
      </c>
      <c r="E8" s="27">
        <v>12</v>
      </c>
      <c r="F8" s="27">
        <v>55</v>
      </c>
      <c r="G8" s="27">
        <v>12</v>
      </c>
      <c r="H8" s="29">
        <v>575</v>
      </c>
      <c r="I8" s="30">
        <f t="shared" si="0"/>
        <v>6900</v>
      </c>
      <c r="J8" s="41" t="s">
        <v>111</v>
      </c>
      <c r="K8" s="41" t="s">
        <v>112</v>
      </c>
      <c r="L8" s="41" t="s">
        <v>113</v>
      </c>
      <c r="M8" s="42" t="s">
        <v>114</v>
      </c>
      <c r="N8" s="26" t="s">
        <v>95</v>
      </c>
    </row>
    <row r="9" spans="1:14" ht="54.75" customHeight="1" x14ac:dyDescent="0.3">
      <c r="A9" s="21">
        <v>7</v>
      </c>
      <c r="B9" s="37" t="s">
        <v>115</v>
      </c>
      <c r="C9" s="21" t="s">
        <v>96</v>
      </c>
      <c r="D9" s="38" t="s">
        <v>116</v>
      </c>
      <c r="E9" s="22">
        <v>10</v>
      </c>
      <c r="F9" s="22">
        <v>55</v>
      </c>
      <c r="G9" s="22">
        <v>10</v>
      </c>
      <c r="H9" s="24">
        <v>400</v>
      </c>
      <c r="I9" s="25">
        <f t="shared" si="0"/>
        <v>4000</v>
      </c>
      <c r="J9" s="38" t="s">
        <v>117</v>
      </c>
      <c r="K9" s="38" t="s">
        <v>118</v>
      </c>
      <c r="L9" s="38" t="s">
        <v>119</v>
      </c>
      <c r="M9" s="39" t="s">
        <v>120</v>
      </c>
      <c r="N9" s="21" t="s">
        <v>107</v>
      </c>
    </row>
    <row r="10" spans="1:14" ht="54.75" customHeight="1" x14ac:dyDescent="0.3">
      <c r="A10" s="16">
        <v>8</v>
      </c>
      <c r="B10" s="34" t="s">
        <v>58</v>
      </c>
      <c r="C10" s="16" t="s">
        <v>78</v>
      </c>
      <c r="D10" s="35" t="s">
        <v>121</v>
      </c>
      <c r="E10" s="17">
        <v>8</v>
      </c>
      <c r="F10" s="17">
        <v>55</v>
      </c>
      <c r="G10" s="17">
        <v>8</v>
      </c>
      <c r="H10" s="19">
        <v>698</v>
      </c>
      <c r="I10" s="20">
        <f t="shared" si="0"/>
        <v>5584</v>
      </c>
      <c r="J10" s="35" t="s">
        <v>122</v>
      </c>
      <c r="K10" s="35" t="s">
        <v>123</v>
      </c>
      <c r="L10" s="35" t="s">
        <v>124</v>
      </c>
      <c r="M10" s="36" t="s">
        <v>125</v>
      </c>
      <c r="N10" s="16" t="s">
        <v>95</v>
      </c>
    </row>
    <row r="11" spans="1:14" ht="54.75" customHeight="1" x14ac:dyDescent="0.3">
      <c r="A11" s="21">
        <v>9</v>
      </c>
      <c r="B11" s="37" t="s">
        <v>59</v>
      </c>
      <c r="C11" s="21" t="s">
        <v>96</v>
      </c>
      <c r="D11" s="38" t="s">
        <v>126</v>
      </c>
      <c r="E11" s="22">
        <v>10</v>
      </c>
      <c r="F11" s="22">
        <v>55</v>
      </c>
      <c r="G11" s="22">
        <v>15</v>
      </c>
      <c r="H11" s="24">
        <v>400</v>
      </c>
      <c r="I11" s="25">
        <f t="shared" si="0"/>
        <v>6000</v>
      </c>
      <c r="J11" s="38" t="s">
        <v>127</v>
      </c>
      <c r="K11" s="38" t="s">
        <v>128</v>
      </c>
      <c r="L11" s="38" t="s">
        <v>129</v>
      </c>
      <c r="M11" s="39" t="s">
        <v>130</v>
      </c>
      <c r="N11" s="21" t="s">
        <v>107</v>
      </c>
    </row>
    <row r="12" spans="1:14" ht="54.75" customHeight="1" x14ac:dyDescent="0.3">
      <c r="A12" s="21">
        <v>10</v>
      </c>
      <c r="B12" s="37" t="s">
        <v>61</v>
      </c>
      <c r="C12" s="21" t="s">
        <v>96</v>
      </c>
      <c r="D12" s="38" t="s">
        <v>131</v>
      </c>
      <c r="E12" s="22">
        <v>8</v>
      </c>
      <c r="F12" s="22">
        <v>55</v>
      </c>
      <c r="G12" s="22">
        <v>15</v>
      </c>
      <c r="H12" s="24">
        <v>320</v>
      </c>
      <c r="I12" s="25">
        <f t="shared" si="0"/>
        <v>4800</v>
      </c>
      <c r="J12" s="38" t="s">
        <v>132</v>
      </c>
      <c r="K12" s="38" t="s">
        <v>133</v>
      </c>
      <c r="L12" s="38" t="s">
        <v>134</v>
      </c>
      <c r="M12" s="39" t="s">
        <v>135</v>
      </c>
      <c r="N12" s="21" t="s">
        <v>107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"/>
  <sheetViews>
    <sheetView showGridLines="0" zoomScaleNormal="100" workbookViewId="0"/>
  </sheetViews>
  <sheetFormatPr defaultColWidth="8.6640625" defaultRowHeight="14.4" x14ac:dyDescent="0.3"/>
  <cols>
    <col min="1" max="1" width="16" customWidth="1"/>
    <col min="2" max="2" width="10" customWidth="1"/>
    <col min="3" max="10" width="14" customWidth="1"/>
  </cols>
  <sheetData>
    <row r="1" spans="1:10" ht="37.5" customHeight="1" x14ac:dyDescent="0.3">
      <c r="A1" s="47" t="s">
        <v>136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21.75" customHeight="1" x14ac:dyDescent="0.3">
      <c r="A2" s="48" t="s">
        <v>137</v>
      </c>
      <c r="B2" s="48"/>
      <c r="C2" s="48"/>
      <c r="D2" s="48"/>
      <c r="E2" s="48"/>
      <c r="F2" s="48"/>
      <c r="G2" s="48"/>
      <c r="H2" s="48"/>
      <c r="I2" s="48"/>
      <c r="J2" s="48"/>
    </row>
    <row r="4" spans="1:10" ht="31.5" customHeight="1" x14ac:dyDescent="0.3">
      <c r="A4" s="49" t="s">
        <v>138</v>
      </c>
      <c r="B4" s="49"/>
      <c r="C4" s="49"/>
      <c r="D4" s="49"/>
      <c r="E4" s="49"/>
      <c r="F4" s="49"/>
      <c r="G4" s="49"/>
      <c r="H4" s="49"/>
      <c r="I4" s="49"/>
      <c r="J4" s="49"/>
    </row>
    <row r="5" spans="1:10" ht="27.75" customHeight="1" x14ac:dyDescent="0.3">
      <c r="A5" s="50" t="s">
        <v>139</v>
      </c>
      <c r="B5" s="50"/>
      <c r="C5" s="51" t="s">
        <v>140</v>
      </c>
      <c r="D5" s="51"/>
      <c r="E5" s="51"/>
      <c r="F5" s="51"/>
      <c r="G5" s="51"/>
      <c r="H5" s="51"/>
      <c r="I5" s="51"/>
      <c r="J5" s="51"/>
    </row>
    <row r="6" spans="1:10" ht="27.75" customHeight="1" x14ac:dyDescent="0.3">
      <c r="A6" s="50" t="s">
        <v>67</v>
      </c>
      <c r="B6" s="50"/>
      <c r="C6" s="52" t="s">
        <v>141</v>
      </c>
      <c r="D6" s="52"/>
      <c r="E6" s="52"/>
      <c r="F6" s="52"/>
      <c r="G6" s="52"/>
      <c r="H6" s="52"/>
      <c r="I6" s="52"/>
      <c r="J6" s="52"/>
    </row>
    <row r="7" spans="1:10" ht="27.75" customHeight="1" x14ac:dyDescent="0.3">
      <c r="A7" s="50" t="s">
        <v>142</v>
      </c>
      <c r="B7" s="50"/>
      <c r="C7" s="52" t="s">
        <v>143</v>
      </c>
      <c r="D7" s="52"/>
      <c r="E7" s="52"/>
      <c r="F7" s="52"/>
      <c r="G7" s="52"/>
      <c r="H7" s="52"/>
      <c r="I7" s="52"/>
      <c r="J7" s="52"/>
    </row>
    <row r="8" spans="1:10" ht="27.75" customHeight="1" x14ac:dyDescent="0.3">
      <c r="A8" s="50" t="s">
        <v>144</v>
      </c>
      <c r="B8" s="50"/>
      <c r="C8" s="52" t="s">
        <v>145</v>
      </c>
      <c r="D8" s="52"/>
      <c r="E8" s="52"/>
      <c r="F8" s="52"/>
      <c r="G8" s="52"/>
      <c r="H8" s="52"/>
      <c r="I8" s="52"/>
      <c r="J8" s="52"/>
    </row>
    <row r="9" spans="1:10" ht="27.75" customHeight="1" x14ac:dyDescent="0.3">
      <c r="A9" s="50" t="s">
        <v>146</v>
      </c>
      <c r="B9" s="50"/>
      <c r="C9" s="52" t="s">
        <v>147</v>
      </c>
      <c r="D9" s="52"/>
      <c r="E9" s="52"/>
      <c r="F9" s="52"/>
      <c r="G9" s="52"/>
      <c r="H9" s="52"/>
      <c r="I9" s="52"/>
      <c r="J9" s="52"/>
    </row>
    <row r="10" spans="1:10" ht="27.75" customHeight="1" x14ac:dyDescent="0.3">
      <c r="A10" s="50" t="s">
        <v>148</v>
      </c>
      <c r="B10" s="50"/>
      <c r="C10" s="52" t="s">
        <v>149</v>
      </c>
      <c r="D10" s="52"/>
      <c r="E10" s="52"/>
      <c r="F10" s="52"/>
      <c r="G10" s="52"/>
      <c r="H10" s="52"/>
      <c r="I10" s="52"/>
      <c r="J10" s="52"/>
    </row>
    <row r="11" spans="1:10" ht="27.75" customHeight="1" x14ac:dyDescent="0.3">
      <c r="A11" s="50" t="s">
        <v>150</v>
      </c>
      <c r="B11" s="50"/>
      <c r="C11" s="52" t="s">
        <v>151</v>
      </c>
      <c r="D11" s="52"/>
      <c r="E11" s="52"/>
      <c r="F11" s="52"/>
      <c r="G11" s="52"/>
      <c r="H11" s="52"/>
      <c r="I11" s="52"/>
      <c r="J11" s="52"/>
    </row>
    <row r="12" spans="1:10" ht="27.75" customHeight="1" x14ac:dyDescent="0.3">
      <c r="A12" s="50" t="s">
        <v>152</v>
      </c>
      <c r="B12" s="50"/>
      <c r="C12" s="51" t="s">
        <v>153</v>
      </c>
      <c r="D12" s="51"/>
      <c r="E12" s="51"/>
      <c r="F12" s="51"/>
      <c r="G12" s="51"/>
      <c r="H12" s="51"/>
      <c r="I12" s="51"/>
      <c r="J12" s="51"/>
    </row>
    <row r="14" spans="1:10" ht="31.5" customHeight="1" x14ac:dyDescent="0.3">
      <c r="A14" s="53" t="s">
        <v>154</v>
      </c>
      <c r="B14" s="53"/>
      <c r="C14" s="53"/>
      <c r="D14" s="53"/>
      <c r="E14" s="53"/>
      <c r="F14" s="53"/>
      <c r="G14" s="53"/>
      <c r="H14" s="53"/>
      <c r="I14" s="53"/>
      <c r="J14" s="53"/>
    </row>
    <row r="15" spans="1:10" ht="27.75" customHeight="1" x14ac:dyDescent="0.3">
      <c r="A15" s="50" t="s">
        <v>139</v>
      </c>
      <c r="B15" s="50"/>
      <c r="C15" s="54" t="s">
        <v>155</v>
      </c>
      <c r="D15" s="54"/>
      <c r="E15" s="54"/>
      <c r="F15" s="54"/>
      <c r="G15" s="54"/>
      <c r="H15" s="54"/>
      <c r="I15" s="54"/>
      <c r="J15" s="54"/>
    </row>
    <row r="16" spans="1:10" ht="27.75" customHeight="1" x14ac:dyDescent="0.3">
      <c r="A16" s="50" t="s">
        <v>67</v>
      </c>
      <c r="B16" s="50"/>
      <c r="C16" s="55" t="s">
        <v>156</v>
      </c>
      <c r="D16" s="55"/>
      <c r="E16" s="55"/>
      <c r="F16" s="55"/>
      <c r="G16" s="55"/>
      <c r="H16" s="55"/>
      <c r="I16" s="55"/>
      <c r="J16" s="55"/>
    </row>
    <row r="17" spans="1:10" ht="27.75" customHeight="1" x14ac:dyDescent="0.3">
      <c r="A17" s="50" t="s">
        <v>142</v>
      </c>
      <c r="B17" s="50"/>
      <c r="C17" s="55" t="s">
        <v>157</v>
      </c>
      <c r="D17" s="55"/>
      <c r="E17" s="55"/>
      <c r="F17" s="55"/>
      <c r="G17" s="55"/>
      <c r="H17" s="55"/>
      <c r="I17" s="55"/>
      <c r="J17" s="55"/>
    </row>
    <row r="18" spans="1:10" ht="27.75" customHeight="1" x14ac:dyDescent="0.3">
      <c r="A18" s="50" t="s">
        <v>144</v>
      </c>
      <c r="B18" s="50"/>
      <c r="C18" s="55" t="s">
        <v>158</v>
      </c>
      <c r="D18" s="55"/>
      <c r="E18" s="55"/>
      <c r="F18" s="55"/>
      <c r="G18" s="55"/>
      <c r="H18" s="55"/>
      <c r="I18" s="55"/>
      <c r="J18" s="55"/>
    </row>
    <row r="19" spans="1:10" ht="27.75" customHeight="1" x14ac:dyDescent="0.3">
      <c r="A19" s="50" t="s">
        <v>146</v>
      </c>
      <c r="B19" s="50"/>
      <c r="C19" s="55" t="s">
        <v>159</v>
      </c>
      <c r="D19" s="55"/>
      <c r="E19" s="55"/>
      <c r="F19" s="55"/>
      <c r="G19" s="55"/>
      <c r="H19" s="55"/>
      <c r="I19" s="55"/>
      <c r="J19" s="55"/>
    </row>
    <row r="20" spans="1:10" ht="27.75" customHeight="1" x14ac:dyDescent="0.3">
      <c r="A20" s="50" t="s">
        <v>148</v>
      </c>
      <c r="B20" s="50"/>
      <c r="C20" s="55" t="s">
        <v>160</v>
      </c>
      <c r="D20" s="55"/>
      <c r="E20" s="55"/>
      <c r="F20" s="55"/>
      <c r="G20" s="55"/>
      <c r="H20" s="55"/>
      <c r="I20" s="55"/>
      <c r="J20" s="55"/>
    </row>
    <row r="21" spans="1:10" ht="27.75" customHeight="1" x14ac:dyDescent="0.3">
      <c r="A21" s="50" t="s">
        <v>150</v>
      </c>
      <c r="B21" s="50"/>
      <c r="C21" s="55" t="s">
        <v>161</v>
      </c>
      <c r="D21" s="55"/>
      <c r="E21" s="55"/>
      <c r="F21" s="55"/>
      <c r="G21" s="55"/>
      <c r="H21" s="55"/>
      <c r="I21" s="55"/>
      <c r="J21" s="55"/>
    </row>
    <row r="22" spans="1:10" ht="27.75" customHeight="1" x14ac:dyDescent="0.3">
      <c r="A22" s="50" t="s">
        <v>152</v>
      </c>
      <c r="B22" s="50"/>
      <c r="C22" s="54" t="s">
        <v>162</v>
      </c>
      <c r="D22" s="54"/>
      <c r="E22" s="54"/>
      <c r="F22" s="54"/>
      <c r="G22" s="54"/>
      <c r="H22" s="54"/>
      <c r="I22" s="54"/>
      <c r="J22" s="54"/>
    </row>
    <row r="24" spans="1:10" ht="31.5" customHeight="1" x14ac:dyDescent="0.3">
      <c r="A24" s="56" t="s">
        <v>163</v>
      </c>
      <c r="B24" s="56"/>
      <c r="C24" s="56"/>
      <c r="D24" s="56"/>
      <c r="E24" s="56"/>
      <c r="F24" s="56"/>
      <c r="G24" s="56"/>
      <c r="H24" s="56"/>
      <c r="I24" s="56"/>
      <c r="J24" s="56"/>
    </row>
    <row r="25" spans="1:10" ht="27.75" customHeight="1" x14ac:dyDescent="0.3">
      <c r="A25" s="50" t="s">
        <v>139</v>
      </c>
      <c r="B25" s="50"/>
      <c r="C25" s="43" t="s">
        <v>164</v>
      </c>
      <c r="D25" s="43"/>
      <c r="E25" s="43"/>
      <c r="F25" s="43"/>
      <c r="G25" s="43"/>
      <c r="H25" s="43"/>
      <c r="I25" s="43"/>
      <c r="J25" s="43"/>
    </row>
    <row r="26" spans="1:10" ht="27.75" customHeight="1" x14ac:dyDescent="0.3">
      <c r="A26" s="50" t="s">
        <v>67</v>
      </c>
      <c r="B26" s="50"/>
      <c r="C26" s="57" t="s">
        <v>165</v>
      </c>
      <c r="D26" s="57"/>
      <c r="E26" s="57"/>
      <c r="F26" s="57"/>
      <c r="G26" s="57"/>
      <c r="H26" s="57"/>
      <c r="I26" s="57"/>
      <c r="J26" s="57"/>
    </row>
    <row r="27" spans="1:10" ht="27.75" customHeight="1" x14ac:dyDescent="0.3">
      <c r="A27" s="50" t="s">
        <v>142</v>
      </c>
      <c r="B27" s="50"/>
      <c r="C27" s="57" t="s">
        <v>166</v>
      </c>
      <c r="D27" s="57"/>
      <c r="E27" s="57"/>
      <c r="F27" s="57"/>
      <c r="G27" s="57"/>
      <c r="H27" s="57"/>
      <c r="I27" s="57"/>
      <c r="J27" s="57"/>
    </row>
    <row r="28" spans="1:10" ht="27.75" customHeight="1" x14ac:dyDescent="0.3">
      <c r="A28" s="50" t="s">
        <v>144</v>
      </c>
      <c r="B28" s="50"/>
      <c r="C28" s="57" t="s">
        <v>145</v>
      </c>
      <c r="D28" s="57"/>
      <c r="E28" s="57"/>
      <c r="F28" s="57"/>
      <c r="G28" s="57"/>
      <c r="H28" s="57"/>
      <c r="I28" s="57"/>
      <c r="J28" s="57"/>
    </row>
    <row r="29" spans="1:10" ht="27.75" customHeight="1" x14ac:dyDescent="0.3">
      <c r="A29" s="50" t="s">
        <v>146</v>
      </c>
      <c r="B29" s="50"/>
      <c r="C29" s="57" t="s">
        <v>167</v>
      </c>
      <c r="D29" s="57"/>
      <c r="E29" s="57"/>
      <c r="F29" s="57"/>
      <c r="G29" s="57"/>
      <c r="H29" s="57"/>
      <c r="I29" s="57"/>
      <c r="J29" s="57"/>
    </row>
    <row r="30" spans="1:10" ht="27.75" customHeight="1" x14ac:dyDescent="0.3">
      <c r="A30" s="50" t="s">
        <v>148</v>
      </c>
      <c r="B30" s="50"/>
      <c r="C30" s="57" t="s">
        <v>149</v>
      </c>
      <c r="D30" s="57"/>
      <c r="E30" s="57"/>
      <c r="F30" s="57"/>
      <c r="G30" s="57"/>
      <c r="H30" s="57"/>
      <c r="I30" s="57"/>
      <c r="J30" s="57"/>
    </row>
    <row r="31" spans="1:10" ht="27.75" customHeight="1" x14ac:dyDescent="0.3">
      <c r="A31" s="50" t="s">
        <v>150</v>
      </c>
      <c r="B31" s="50"/>
      <c r="C31" s="57" t="s">
        <v>168</v>
      </c>
      <c r="D31" s="57"/>
      <c r="E31" s="57"/>
      <c r="F31" s="57"/>
      <c r="G31" s="57"/>
      <c r="H31" s="57"/>
      <c r="I31" s="57"/>
      <c r="J31" s="57"/>
    </row>
    <row r="32" spans="1:10" ht="27.75" customHeight="1" x14ac:dyDescent="0.3">
      <c r="A32" s="50" t="s">
        <v>152</v>
      </c>
      <c r="B32" s="50"/>
      <c r="C32" s="43" t="s">
        <v>153</v>
      </c>
      <c r="D32" s="43"/>
      <c r="E32" s="43"/>
      <c r="F32" s="43"/>
      <c r="G32" s="43"/>
      <c r="H32" s="43"/>
      <c r="I32" s="43"/>
      <c r="J32" s="43"/>
    </row>
    <row r="34" spans="1:10" ht="15" customHeight="1" x14ac:dyDescent="0.3"/>
    <row r="35" spans="1:10" ht="31.5" customHeight="1" x14ac:dyDescent="0.3">
      <c r="A35" s="58" t="s">
        <v>169</v>
      </c>
      <c r="B35" s="58"/>
      <c r="C35" s="58"/>
      <c r="D35" s="58"/>
      <c r="E35" s="58"/>
      <c r="F35" s="58"/>
      <c r="G35" s="58"/>
      <c r="H35" s="58"/>
      <c r="I35" s="58"/>
      <c r="J35" s="58"/>
    </row>
  </sheetData>
  <mergeCells count="54">
    <mergeCell ref="A32:B32"/>
    <mergeCell ref="C32:J32"/>
    <mergeCell ref="A35:J35"/>
    <mergeCell ref="A29:B29"/>
    <mergeCell ref="C29:J29"/>
    <mergeCell ref="A30:B30"/>
    <mergeCell ref="C30:J30"/>
    <mergeCell ref="A31:B31"/>
    <mergeCell ref="C31:J31"/>
    <mergeCell ref="A26:B26"/>
    <mergeCell ref="C26:J26"/>
    <mergeCell ref="A27:B27"/>
    <mergeCell ref="C27:J27"/>
    <mergeCell ref="A28:B28"/>
    <mergeCell ref="C28:J28"/>
    <mergeCell ref="A22:B22"/>
    <mergeCell ref="C22:J22"/>
    <mergeCell ref="A24:J24"/>
    <mergeCell ref="A25:B25"/>
    <mergeCell ref="C25:J25"/>
    <mergeCell ref="A19:B19"/>
    <mergeCell ref="C19:J19"/>
    <mergeCell ref="A20:B20"/>
    <mergeCell ref="C20:J20"/>
    <mergeCell ref="A21:B21"/>
    <mergeCell ref="C21:J21"/>
    <mergeCell ref="A16:B16"/>
    <mergeCell ref="C16:J16"/>
    <mergeCell ref="A17:B17"/>
    <mergeCell ref="C17:J17"/>
    <mergeCell ref="A18:B18"/>
    <mergeCell ref="C18:J18"/>
    <mergeCell ref="A12:B12"/>
    <mergeCell ref="C12:J12"/>
    <mergeCell ref="A14:J14"/>
    <mergeCell ref="A15:B15"/>
    <mergeCell ref="C15:J15"/>
    <mergeCell ref="A9:B9"/>
    <mergeCell ref="C9:J9"/>
    <mergeCell ref="A10:B10"/>
    <mergeCell ref="C10:J10"/>
    <mergeCell ref="A11:B11"/>
    <mergeCell ref="C11:J11"/>
    <mergeCell ref="A6:B6"/>
    <mergeCell ref="C6:J6"/>
    <mergeCell ref="A7:B7"/>
    <mergeCell ref="C7:J7"/>
    <mergeCell ref="A8:B8"/>
    <mergeCell ref="C8:J8"/>
    <mergeCell ref="A1:J1"/>
    <mergeCell ref="A2:J2"/>
    <mergeCell ref="A4:J4"/>
    <mergeCell ref="A5:B5"/>
    <mergeCell ref="C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showGridLines="0" zoomScaleNormal="100" workbookViewId="0"/>
  </sheetViews>
  <sheetFormatPr defaultColWidth="8.6640625" defaultRowHeight="14.4" x14ac:dyDescent="0.3"/>
  <cols>
    <col min="1" max="1" width="20" customWidth="1"/>
    <col min="2" max="2" width="18" customWidth="1"/>
    <col min="3" max="6" width="20" customWidth="1"/>
  </cols>
  <sheetData>
    <row r="1" spans="1:6" ht="37.5" customHeight="1" x14ac:dyDescent="0.3">
      <c r="A1" s="46" t="s">
        <v>170</v>
      </c>
      <c r="B1" s="46"/>
      <c r="C1" s="46"/>
      <c r="D1" s="46"/>
      <c r="E1" s="46"/>
      <c r="F1" s="46"/>
    </row>
    <row r="3" spans="1:6" ht="27.75" customHeight="1" x14ac:dyDescent="0.3">
      <c r="A3" s="59" t="s">
        <v>171</v>
      </c>
      <c r="B3" s="59"/>
      <c r="C3" s="59"/>
      <c r="D3" s="59"/>
      <c r="E3" s="59"/>
      <c r="F3" s="59"/>
    </row>
    <row r="4" spans="1:6" ht="45" customHeight="1" x14ac:dyDescent="0.3">
      <c r="A4" s="60" t="s">
        <v>172</v>
      </c>
      <c r="B4" s="60"/>
      <c r="C4" s="61" t="s">
        <v>173</v>
      </c>
      <c r="D4" s="61"/>
      <c r="E4" s="61"/>
      <c r="F4" s="61"/>
    </row>
    <row r="5" spans="1:6" ht="45" customHeight="1" x14ac:dyDescent="0.3">
      <c r="A5" s="60" t="s">
        <v>174</v>
      </c>
      <c r="B5" s="60"/>
      <c r="C5" s="61" t="s">
        <v>175</v>
      </c>
      <c r="D5" s="61"/>
      <c r="E5" s="61"/>
      <c r="F5" s="61"/>
    </row>
    <row r="6" spans="1:6" ht="45" customHeight="1" x14ac:dyDescent="0.3">
      <c r="A6" s="60" t="s">
        <v>176</v>
      </c>
      <c r="B6" s="60"/>
      <c r="C6" s="61" t="s">
        <v>177</v>
      </c>
      <c r="D6" s="61"/>
      <c r="E6" s="61"/>
      <c r="F6" s="61"/>
    </row>
    <row r="7" spans="1:6" ht="45" customHeight="1" x14ac:dyDescent="0.3">
      <c r="A7" s="60" t="s">
        <v>178</v>
      </c>
      <c r="B7" s="60"/>
      <c r="C7" s="61" t="s">
        <v>179</v>
      </c>
      <c r="D7" s="61"/>
      <c r="E7" s="61"/>
      <c r="F7" s="61"/>
    </row>
    <row r="9" spans="1:6" ht="27.75" customHeight="1" x14ac:dyDescent="0.3">
      <c r="A9" s="62" t="s">
        <v>180</v>
      </c>
      <c r="B9" s="62"/>
      <c r="C9" s="62"/>
      <c r="D9" s="62"/>
      <c r="E9" s="62"/>
      <c r="F9" s="62"/>
    </row>
    <row r="10" spans="1:6" ht="45" customHeight="1" x14ac:dyDescent="0.3">
      <c r="A10" s="60" t="s">
        <v>181</v>
      </c>
      <c r="B10" s="60"/>
      <c r="C10" s="61" t="s">
        <v>182</v>
      </c>
      <c r="D10" s="61"/>
      <c r="E10" s="61"/>
      <c r="F10" s="61"/>
    </row>
    <row r="11" spans="1:6" ht="45" customHeight="1" x14ac:dyDescent="0.3">
      <c r="A11" s="60" t="s">
        <v>183</v>
      </c>
      <c r="B11" s="60"/>
      <c r="C11" s="61" t="s">
        <v>184</v>
      </c>
      <c r="D11" s="61"/>
      <c r="E11" s="61"/>
      <c r="F11" s="61"/>
    </row>
    <row r="12" spans="1:6" ht="45" customHeight="1" x14ac:dyDescent="0.3">
      <c r="A12" s="60" t="s">
        <v>185</v>
      </c>
      <c r="B12" s="60"/>
      <c r="C12" s="61" t="s">
        <v>186</v>
      </c>
      <c r="D12" s="61"/>
      <c r="E12" s="61"/>
      <c r="F12" s="61"/>
    </row>
    <row r="13" spans="1:6" ht="45" customHeight="1" x14ac:dyDescent="0.3">
      <c r="A13" s="60" t="s">
        <v>187</v>
      </c>
      <c r="B13" s="60"/>
      <c r="C13" s="61" t="s">
        <v>188</v>
      </c>
      <c r="D13" s="61"/>
      <c r="E13" s="61"/>
      <c r="F13" s="61"/>
    </row>
    <row r="15" spans="1:6" ht="27.75" customHeight="1" x14ac:dyDescent="0.3">
      <c r="A15" s="63" t="s">
        <v>189</v>
      </c>
      <c r="B15" s="63"/>
      <c r="C15" s="63"/>
      <c r="D15" s="63"/>
      <c r="E15" s="63"/>
      <c r="F15" s="63"/>
    </row>
    <row r="16" spans="1:6" ht="45" customHeight="1" x14ac:dyDescent="0.3">
      <c r="A16" s="60" t="s">
        <v>190</v>
      </c>
      <c r="B16" s="60"/>
      <c r="C16" s="61" t="s">
        <v>191</v>
      </c>
      <c r="D16" s="61"/>
      <c r="E16" s="61"/>
      <c r="F16" s="61"/>
    </row>
    <row r="17" spans="1:6" ht="45" customHeight="1" x14ac:dyDescent="0.3">
      <c r="A17" s="60" t="s">
        <v>192</v>
      </c>
      <c r="B17" s="60"/>
      <c r="C17" s="61" t="s">
        <v>193</v>
      </c>
      <c r="D17" s="61"/>
      <c r="E17" s="61"/>
      <c r="F17" s="61"/>
    </row>
    <row r="18" spans="1:6" ht="45" customHeight="1" x14ac:dyDescent="0.3">
      <c r="A18" s="60" t="s">
        <v>194</v>
      </c>
      <c r="B18" s="60"/>
      <c r="C18" s="61" t="s">
        <v>195</v>
      </c>
      <c r="D18" s="61"/>
      <c r="E18" s="61"/>
      <c r="F18" s="61"/>
    </row>
    <row r="19" spans="1:6" ht="45" customHeight="1" x14ac:dyDescent="0.3">
      <c r="A19" s="60" t="s">
        <v>196</v>
      </c>
      <c r="B19" s="60"/>
      <c r="C19" s="61" t="s">
        <v>197</v>
      </c>
      <c r="D19" s="61"/>
      <c r="E19" s="61"/>
      <c r="F19" s="61"/>
    </row>
  </sheetData>
  <mergeCells count="28">
    <mergeCell ref="A17:B17"/>
    <mergeCell ref="C17:F17"/>
    <mergeCell ref="A18:B18"/>
    <mergeCell ref="C18:F18"/>
    <mergeCell ref="A19:B19"/>
    <mergeCell ref="C19:F19"/>
    <mergeCell ref="A13:B13"/>
    <mergeCell ref="C13:F13"/>
    <mergeCell ref="A15:F15"/>
    <mergeCell ref="A16:B16"/>
    <mergeCell ref="C16:F16"/>
    <mergeCell ref="A10:B10"/>
    <mergeCell ref="C10:F10"/>
    <mergeCell ref="A11:B11"/>
    <mergeCell ref="C11:F11"/>
    <mergeCell ref="A12:B12"/>
    <mergeCell ref="C12:F12"/>
    <mergeCell ref="A6:B6"/>
    <mergeCell ref="C6:F6"/>
    <mergeCell ref="A7:B7"/>
    <mergeCell ref="C7:F7"/>
    <mergeCell ref="A9:F9"/>
    <mergeCell ref="A1:F1"/>
    <mergeCell ref="A3:F3"/>
    <mergeCell ref="A4:B4"/>
    <mergeCell ref="C4:F4"/>
    <mergeCell ref="A5:B5"/>
    <mergeCell ref="C5:F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DASHBOARD</vt:lpstr>
      <vt:lpstr>📋 PROGRAMS</vt:lpstr>
      <vt:lpstr>🚀 PILOT PLAN</vt:lpstr>
      <vt:lpstr>📌 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Shah, Arianna</cp:lastModifiedBy>
  <cp:revision>0</cp:revision>
  <dcterms:created xsi:type="dcterms:W3CDTF">2026-03-16T12:27:00Z</dcterms:created>
  <dcterms:modified xsi:type="dcterms:W3CDTF">2026-03-16T11:33:11Z</dcterms:modified>
  <dc:language>en-US</dc:language>
</cp:coreProperties>
</file>